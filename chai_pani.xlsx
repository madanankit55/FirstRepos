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ankit_madan_capgemini_com/Documents/Documents/Python/Imp/"/>
    </mc:Choice>
  </mc:AlternateContent>
  <xr:revisionPtr revIDLastSave="158" documentId="13_ncr:1_{59680346-3752-4E8D-A8E6-8435577C0434}" xr6:coauthVersionLast="47" xr6:coauthVersionMax="47" xr10:uidLastSave="{6BBF4F80-6E63-4CEA-9344-100B91CB8566}"/>
  <bookViews>
    <workbookView xWindow="-110" yWindow="-110" windowWidth="19420" windowHeight="11500" xr2:uid="{C52999A8-5D38-46D7-B1D5-E6361A2C2AE4}"/>
  </bookViews>
  <sheets>
    <sheet name="July, Aug,Sep" sheetId="1" r:id="rId1"/>
    <sheet name="stats" sheetId="4" r:id="rId2"/>
    <sheet name="leave_process" sheetId="3" r:id="rId3"/>
    <sheet name="LTCG" sheetId="2" r:id="rId4"/>
    <sheet name="Stochastic Oscillator" sheetId="5" r:id="rId5"/>
    <sheet name="BHF" sheetId="10" r:id="rId6"/>
    <sheet name="Learning Curve" sheetId="6" r:id="rId7"/>
    <sheet name="Working Days" sheetId="7" r:id="rId8"/>
    <sheet name="Sheet1" sheetId="8" r:id="rId9"/>
    <sheet name="Sheet2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E40" i="1"/>
  <c r="J10" i="10"/>
  <c r="I10" i="10"/>
  <c r="H10" i="10"/>
  <c r="H9" i="10"/>
  <c r="J6" i="10"/>
  <c r="N8" i="10" s="1"/>
  <c r="I6" i="10"/>
  <c r="H6" i="10"/>
  <c r="H5" i="10"/>
  <c r="I12" i="7"/>
  <c r="I11" i="7"/>
  <c r="J9" i="9"/>
  <c r="I9" i="9"/>
  <c r="H49" i="8"/>
  <c r="H50" i="8"/>
  <c r="H51" i="8"/>
  <c r="H52" i="8"/>
  <c r="H53" i="8"/>
  <c r="H54" i="8" s="1"/>
  <c r="H48" i="8"/>
  <c r="H47" i="8"/>
  <c r="I10" i="7"/>
  <c r="I9" i="7"/>
  <c r="H9" i="7"/>
  <c r="H8" i="7"/>
  <c r="I8" i="7" s="1"/>
  <c r="H3" i="7"/>
  <c r="I3" i="7" s="1"/>
  <c r="H4" i="7"/>
  <c r="H5" i="7"/>
  <c r="H6" i="7"/>
  <c r="H7" i="7"/>
  <c r="I7" i="7"/>
  <c r="I6" i="7"/>
  <c r="I5" i="7"/>
  <c r="I4" i="7"/>
  <c r="J14" i="5"/>
  <c r="J5" i="5"/>
  <c r="I17" i="4"/>
  <c r="H17" i="4"/>
  <c r="G17" i="4"/>
  <c r="F17" i="4"/>
  <c r="E17" i="4"/>
  <c r="J3" i="7" l="1"/>
  <c r="K49" i="1"/>
</calcChain>
</file>

<file path=xl/sharedStrings.xml><?xml version="1.0" encoding="utf-8"?>
<sst xmlns="http://schemas.openxmlformats.org/spreadsheetml/2006/main" count="237" uniqueCount="183">
  <si>
    <t>Credited amount</t>
  </si>
  <si>
    <t>Name/Type</t>
  </si>
  <si>
    <t>Total Amount</t>
  </si>
  <si>
    <t>Total Spend</t>
  </si>
  <si>
    <t>Remaining Balance</t>
  </si>
  <si>
    <t>SNO</t>
  </si>
  <si>
    <t>Transaction Type</t>
  </si>
  <si>
    <t>Amount</t>
  </si>
  <si>
    <t>ICICI Bank Interest - Q1 24</t>
  </si>
  <si>
    <t>Yes Bank Interest - Q1 24</t>
  </si>
  <si>
    <t>ICICI Bank Interest - Q2 24</t>
  </si>
  <si>
    <t>Yes Bank Interest - Q2 24</t>
  </si>
  <si>
    <t>id_gain_type</t>
  </si>
  <si>
    <t>capital gain name</t>
  </si>
  <si>
    <t>fy_id</t>
  </si>
  <si>
    <t>fy_name</t>
  </si>
  <si>
    <t>LTCG</t>
  </si>
  <si>
    <t>22-23</t>
  </si>
  <si>
    <t>STGC</t>
  </si>
  <si>
    <t>23-24</t>
  </si>
  <si>
    <t>24-25</t>
  </si>
  <si>
    <t>sno</t>
  </si>
  <si>
    <t>fy_year</t>
  </si>
  <si>
    <t>capital_game_name</t>
  </si>
  <si>
    <t>CG</t>
  </si>
  <si>
    <t>SLB</t>
  </si>
  <si>
    <t>Replicon</t>
  </si>
  <si>
    <t>i3pm</t>
  </si>
  <si>
    <t>Working</t>
  </si>
  <si>
    <t>BT code hours</t>
  </si>
  <si>
    <t>working hours</t>
  </si>
  <si>
    <t>Holiday</t>
  </si>
  <si>
    <t>NBT code hours</t>
  </si>
  <si>
    <t>0 hours</t>
  </si>
  <si>
    <t>&amp; take comp off on next SLB holiday</t>
  </si>
  <si>
    <t>PH</t>
  </si>
  <si>
    <t>Cash Withdrawl - June 2024</t>
  </si>
  <si>
    <t>Cash Withdrawl - July 2024</t>
  </si>
  <si>
    <t>Office Breakfast - July 2024</t>
  </si>
  <si>
    <t>Office Breakfast - August 2024</t>
  </si>
  <si>
    <t>Office Breakfast - September 2024</t>
  </si>
  <si>
    <t>Cash Withdrawl - September 2024</t>
  </si>
  <si>
    <t>Cash Withdrawl - August 2024</t>
  </si>
  <si>
    <t>Shriram FD Interest - Q1 24</t>
  </si>
  <si>
    <t>Shriram FD Interest - Q2 24</t>
  </si>
  <si>
    <t>Series No</t>
  </si>
  <si>
    <t>Matches</t>
  </si>
  <si>
    <t>Win</t>
  </si>
  <si>
    <t xml:space="preserve">Loss </t>
  </si>
  <si>
    <t>Draw</t>
  </si>
  <si>
    <t>Series Year</t>
  </si>
  <si>
    <t>Winner</t>
  </si>
  <si>
    <t>1952-53</t>
  </si>
  <si>
    <t>West Indies</t>
  </si>
  <si>
    <t>1961-62</t>
  </si>
  <si>
    <t>1970-71</t>
  </si>
  <si>
    <t>India</t>
  </si>
  <si>
    <t>1975-76</t>
  </si>
  <si>
    <t>1982-83</t>
  </si>
  <si>
    <t>1988-89</t>
  </si>
  <si>
    <t>1996-97</t>
  </si>
  <si>
    <t>2018-19</t>
  </si>
  <si>
    <t>Office Breakfast - October 2024</t>
  </si>
  <si>
    <t>Total</t>
  </si>
  <si>
    <t>Gym Bill</t>
  </si>
  <si>
    <t>Cash Withdrawl- October 2024</t>
  </si>
  <si>
    <t>rate</t>
  </si>
  <si>
    <t>Closing Stock Price</t>
  </si>
  <si>
    <t>Last 14 Days High Price</t>
  </si>
  <si>
    <t>Last 14 Days Low Price</t>
  </si>
  <si>
    <t>Overbought</t>
  </si>
  <si>
    <t>Oversold</t>
  </si>
  <si>
    <t>Case I</t>
  </si>
  <si>
    <t>Case II</t>
  </si>
  <si>
    <t>Account Number</t>
  </si>
  <si>
    <t xml:space="preserve">Trn </t>
  </si>
  <si>
    <t xml:space="preserve">date </t>
  </si>
  <si>
    <t>SOW Amount</t>
  </si>
  <si>
    <t>date</t>
  </si>
  <si>
    <t>Office Breakfast - November 2024</t>
  </si>
  <si>
    <t>transaction</t>
  </si>
  <si>
    <t>sow</t>
  </si>
  <si>
    <t>SOW</t>
  </si>
  <si>
    <t>Jan</t>
  </si>
  <si>
    <t>Feb</t>
  </si>
  <si>
    <t>Account</t>
  </si>
  <si>
    <t>Month</t>
  </si>
  <si>
    <t>Mar</t>
  </si>
  <si>
    <t>Apr</t>
  </si>
  <si>
    <t>SAVE</t>
  </si>
  <si>
    <t>CRED</t>
  </si>
  <si>
    <t>operations</t>
  </si>
  <si>
    <t>Dhani Bond - December 24</t>
  </si>
  <si>
    <t>ICICI Bank Interest - Q3 24</t>
  </si>
  <si>
    <t>Yes Bank Interest - Q3 24</t>
  </si>
  <si>
    <t>Shriram FD Interest - Q3 24</t>
  </si>
  <si>
    <t>Dhani Bond - July 24</t>
  </si>
  <si>
    <t>Dhani Bond - August 24</t>
  </si>
  <si>
    <t>Dhani Bond - September 24</t>
  </si>
  <si>
    <t>Dhani Bond - October 24</t>
  </si>
  <si>
    <t>Dhani Bond - November 24</t>
  </si>
  <si>
    <t>Dhani Bond - January 25</t>
  </si>
  <si>
    <t>Month Name</t>
  </si>
  <si>
    <t>Mandate Days</t>
  </si>
  <si>
    <t>Visited Days Left</t>
  </si>
  <si>
    <t>Total Left</t>
  </si>
  <si>
    <t>Cash Withdrawl- November 2024</t>
  </si>
  <si>
    <t>Working Days</t>
  </si>
  <si>
    <t>Company Holidays</t>
  </si>
  <si>
    <t>Taken Holiday</t>
  </si>
  <si>
    <t>Office Visted Days</t>
  </si>
  <si>
    <t>Cash Withdrawl- December 2024</t>
  </si>
  <si>
    <t>Govt Bond - June 24</t>
  </si>
  <si>
    <t>Govt Bond - December 24</t>
  </si>
  <si>
    <t>ICICI Bank Interest - Q4 24</t>
  </si>
  <si>
    <t>Yes Bank Interest - Q4 24</t>
  </si>
  <si>
    <t>Shriram FD Interest - Q4 24</t>
  </si>
  <si>
    <t>Dhani Bond - Febraury 25</t>
  </si>
  <si>
    <t>Office Breakfast - December 2024</t>
  </si>
  <si>
    <t>Office Breakfast - January 2025</t>
  </si>
  <si>
    <t>Office Breakfast - Febraury 2025</t>
  </si>
  <si>
    <t>Cash Withdrawl- February 2025</t>
  </si>
  <si>
    <t>Office Breakfast - March 2025</t>
  </si>
  <si>
    <t>Blue</t>
  </si>
  <si>
    <t>Green</t>
  </si>
  <si>
    <t>Sliver</t>
  </si>
  <si>
    <t>Color</t>
  </si>
  <si>
    <t>Counts</t>
  </si>
  <si>
    <t>Silver</t>
  </si>
  <si>
    <t>LEFT JOIN</t>
  </si>
  <si>
    <t>RIGHT JOIN</t>
  </si>
  <si>
    <t>INNER JOIN</t>
  </si>
  <si>
    <t>table a</t>
  </si>
  <si>
    <t>table b</t>
  </si>
  <si>
    <t>b</t>
  </si>
  <si>
    <t>c</t>
  </si>
  <si>
    <t>Name</t>
  </si>
  <si>
    <t>salary</t>
  </si>
  <si>
    <t>d</t>
  </si>
  <si>
    <t>Total_salary</t>
  </si>
  <si>
    <t>value</t>
  </si>
  <si>
    <t>id</t>
  </si>
  <si>
    <t>min value</t>
  </si>
  <si>
    <t>max value</t>
  </si>
  <si>
    <t>Pakistan</t>
  </si>
  <si>
    <t>Cash Withdrawl- March 2025</t>
  </si>
  <si>
    <t>ICICI Bank Interest - Q1 25</t>
  </si>
  <si>
    <t>Yes Bank Interest - Q1 25</t>
  </si>
  <si>
    <t>Shriram FD Interest - Q1 25</t>
  </si>
  <si>
    <t>ICICI Bank Interest - Q2 25</t>
  </si>
  <si>
    <t>Yes Bank Interest - Q2 25</t>
  </si>
  <si>
    <t>Shriram FD Interest - Q2 25</t>
  </si>
  <si>
    <t>Office Breakfast - April 2025</t>
  </si>
  <si>
    <t>Cash Withdrawl- April 2025</t>
  </si>
  <si>
    <t>Govt Bond - June 25</t>
  </si>
  <si>
    <t>Office Breakfast - May 2025</t>
  </si>
  <si>
    <t>Office Breakfast - June 2025</t>
  </si>
  <si>
    <t>Cash Withdrawl- June 2025</t>
  </si>
  <si>
    <t>Office Breakfast - July 2025</t>
  </si>
  <si>
    <t>England</t>
  </si>
  <si>
    <t>2021-22</t>
  </si>
  <si>
    <t>Cash Withdrawl- August 2025</t>
  </si>
  <si>
    <t>Office Breakfast - August 2025</t>
  </si>
  <si>
    <t>Bajaj Housing Finance</t>
  </si>
  <si>
    <t>Overall Loss</t>
  </si>
  <si>
    <t>Office Breakfast - September 2025</t>
  </si>
  <si>
    <t>Office Breakfast - October 2025</t>
  </si>
  <si>
    <t>Govt Bond - December 25</t>
  </si>
  <si>
    <t>ICICI Bank Interest - Q3 25</t>
  </si>
  <si>
    <t>Yes Bank Interest - Q3 25</t>
  </si>
  <si>
    <t>Shriram FD Interest - Q3 25</t>
  </si>
  <si>
    <t>ICICI Bank Interest - Q4 25</t>
  </si>
  <si>
    <t>Yes Bank Interest - Q4 25</t>
  </si>
  <si>
    <t>Shriram FD Interest - Q4 25</t>
  </si>
  <si>
    <t>Cash  Withdrawl - October 2025</t>
  </si>
  <si>
    <t>Office Breakfast - November 2025</t>
  </si>
  <si>
    <t>Cash  Withdrawl - November 2025</t>
  </si>
  <si>
    <t>Office Breakfast - December 2025</t>
  </si>
  <si>
    <t>Cash  Withdrawl - December 2025</t>
  </si>
  <si>
    <t>Office Breakfast - January 2026</t>
  </si>
  <si>
    <t>Office Breakfast - Febraury 2026</t>
  </si>
  <si>
    <t>Cash  Withdrawl - February 2026</t>
  </si>
  <si>
    <t>Office Breakfast -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</si>
</sst>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2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vertical="center"/>
    </xf>
    <xf numFmtId="0" fontId="2" fillId="4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5" fontId="0" fillId="0" borderId="0" xfId="0" applyNumberFormat="1" applyAlignment="1">
      <alignment horizontal="left" vertical="top"/>
    </xf>
    <xf numFmtId="15" fontId="0" fillId="0" borderId="0" xfId="0" applyNumberFormat="1"/>
    <xf numFmtId="17" fontId="0" fillId="0" borderId="1" xfId="0" applyNumberFormat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" fontId="0" fillId="0" borderId="0" xfId="0" applyNumberFormat="1"/>
    <xf numFmtId="14" fontId="0" fillId="0" borderId="0" xfId="0" applyNumberFormat="1"/>
    <xf numFmtId="0" fontId="3" fillId="7" borderId="1" xfId="0" applyFont="1" applyFill="1" applyBorder="1"/>
    <xf numFmtId="0" fontId="0" fillId="0" borderId="1" xfId="0" applyBorder="1" applyAlignment="1">
      <alignment horizontal="right"/>
    </xf>
    <xf numFmtId="0" fontId="2" fillId="6" borderId="1" xfId="0" applyFont="1" applyFill="1" applyBorder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FC07-A4B2-497B-B352-FE224EB40935}">
  <dimension ref="C3:L49"/>
  <sheetViews>
    <sheetView tabSelected="1" topLeftCell="A31" workbookViewId="0">
      <selection activeCell="J41" sqref="J41"/>
    </sheetView>
  </sheetViews>
  <sheetFormatPr defaultRowHeight="14.5" x14ac:dyDescent="0.35"/>
  <cols>
    <col min="3" max="3" width="3.90625" bestFit="1" customWidth="1"/>
    <col min="4" max="4" width="23.54296875" bestFit="1" customWidth="1"/>
    <col min="5" max="5" width="15" bestFit="1" customWidth="1"/>
    <col min="9" max="9" width="4.36328125" bestFit="1" customWidth="1"/>
    <col min="10" max="10" width="29.54296875" bestFit="1" customWidth="1"/>
  </cols>
  <sheetData>
    <row r="3" spans="3:11" x14ac:dyDescent="0.35">
      <c r="C3" s="2" t="s">
        <v>5</v>
      </c>
      <c r="D3" s="2" t="s">
        <v>1</v>
      </c>
      <c r="E3" s="2" t="s">
        <v>0</v>
      </c>
      <c r="I3" s="2" t="s">
        <v>5</v>
      </c>
      <c r="J3" s="2" t="s">
        <v>6</v>
      </c>
      <c r="K3" s="2" t="s">
        <v>7</v>
      </c>
    </row>
    <row r="4" spans="3:11" x14ac:dyDescent="0.35">
      <c r="C4" s="3">
        <v>1</v>
      </c>
      <c r="D4" s="3" t="s">
        <v>8</v>
      </c>
      <c r="E4" s="3">
        <v>4534</v>
      </c>
      <c r="I4" s="3">
        <v>1</v>
      </c>
      <c r="J4" s="3" t="s">
        <v>36</v>
      </c>
      <c r="K4" s="3">
        <v>2500</v>
      </c>
    </row>
    <row r="5" spans="3:11" x14ac:dyDescent="0.35">
      <c r="C5" s="3">
        <v>2</v>
      </c>
      <c r="D5" s="3" t="s">
        <v>9</v>
      </c>
      <c r="E5" s="3">
        <v>3751</v>
      </c>
      <c r="I5" s="3">
        <v>2</v>
      </c>
      <c r="J5" s="3" t="s">
        <v>37</v>
      </c>
      <c r="K5" s="3">
        <v>2500</v>
      </c>
    </row>
    <row r="6" spans="3:11" x14ac:dyDescent="0.35">
      <c r="C6" s="3">
        <v>3</v>
      </c>
      <c r="D6" s="3" t="s">
        <v>43</v>
      </c>
      <c r="E6" s="3">
        <v>1885</v>
      </c>
      <c r="I6" s="3">
        <v>3</v>
      </c>
      <c r="J6" s="3" t="s">
        <v>38</v>
      </c>
      <c r="K6" s="3">
        <v>374</v>
      </c>
    </row>
    <row r="7" spans="3:11" x14ac:dyDescent="0.35">
      <c r="C7" s="3">
        <v>4</v>
      </c>
      <c r="D7" s="3" t="s">
        <v>96</v>
      </c>
      <c r="E7" s="3">
        <v>775</v>
      </c>
      <c r="I7" s="3">
        <v>4</v>
      </c>
      <c r="J7" s="3" t="s">
        <v>39</v>
      </c>
      <c r="K7" s="3">
        <v>212</v>
      </c>
    </row>
    <row r="8" spans="3:11" x14ac:dyDescent="0.35">
      <c r="C8" s="3">
        <v>5</v>
      </c>
      <c r="D8" s="3" t="s">
        <v>112</v>
      </c>
      <c r="E8" s="3">
        <v>3495</v>
      </c>
      <c r="I8" s="3">
        <v>5</v>
      </c>
      <c r="J8" s="3" t="s">
        <v>41</v>
      </c>
      <c r="K8" s="3">
        <v>2500</v>
      </c>
    </row>
    <row r="9" spans="3:11" x14ac:dyDescent="0.35">
      <c r="C9" s="3">
        <v>6</v>
      </c>
      <c r="D9" s="3" t="s">
        <v>97</v>
      </c>
      <c r="E9" s="3">
        <v>801</v>
      </c>
      <c r="I9" s="3">
        <v>6</v>
      </c>
      <c r="J9" s="3" t="s">
        <v>40</v>
      </c>
      <c r="K9" s="3">
        <v>118</v>
      </c>
    </row>
    <row r="10" spans="3:11" x14ac:dyDescent="0.35">
      <c r="C10" s="3">
        <v>7</v>
      </c>
      <c r="D10" s="3" t="s">
        <v>98</v>
      </c>
      <c r="E10" s="3">
        <v>801</v>
      </c>
      <c r="I10" s="3">
        <v>7</v>
      </c>
      <c r="J10" s="3" t="s">
        <v>42</v>
      </c>
      <c r="K10" s="3">
        <v>1850</v>
      </c>
    </row>
    <row r="11" spans="3:11" x14ac:dyDescent="0.35">
      <c r="C11" s="3">
        <v>8</v>
      </c>
      <c r="D11" s="3" t="s">
        <v>99</v>
      </c>
      <c r="E11" s="9">
        <v>775</v>
      </c>
      <c r="I11" s="3">
        <v>8</v>
      </c>
      <c r="J11" s="3" t="s">
        <v>62</v>
      </c>
      <c r="K11" s="3">
        <v>249</v>
      </c>
    </row>
    <row r="12" spans="3:11" x14ac:dyDescent="0.35">
      <c r="C12" s="3">
        <v>9</v>
      </c>
      <c r="D12" s="3" t="s">
        <v>10</v>
      </c>
      <c r="E12" s="3">
        <v>9287</v>
      </c>
      <c r="I12" s="3">
        <v>9</v>
      </c>
      <c r="J12" s="8" t="s">
        <v>64</v>
      </c>
      <c r="K12" s="3">
        <v>0</v>
      </c>
    </row>
    <row r="13" spans="3:11" x14ac:dyDescent="0.35">
      <c r="C13" s="3">
        <v>10</v>
      </c>
      <c r="D13" s="3" t="s">
        <v>11</v>
      </c>
      <c r="E13" s="3">
        <v>4583</v>
      </c>
      <c r="I13" s="3">
        <v>10</v>
      </c>
      <c r="J13" s="8" t="s">
        <v>65</v>
      </c>
      <c r="K13" s="3">
        <v>5000</v>
      </c>
    </row>
    <row r="14" spans="3:11" x14ac:dyDescent="0.35">
      <c r="C14" s="3">
        <v>11</v>
      </c>
      <c r="D14" s="3" t="s">
        <v>44</v>
      </c>
      <c r="E14" s="3">
        <v>1885</v>
      </c>
      <c r="I14" s="3">
        <v>11</v>
      </c>
      <c r="J14" s="3" t="s">
        <v>79</v>
      </c>
      <c r="K14" s="3">
        <v>213</v>
      </c>
    </row>
    <row r="15" spans="3:11" x14ac:dyDescent="0.35">
      <c r="C15" s="3">
        <v>12</v>
      </c>
      <c r="D15" s="3" t="s">
        <v>100</v>
      </c>
      <c r="E15" s="3">
        <v>801</v>
      </c>
      <c r="I15" s="3">
        <v>12</v>
      </c>
      <c r="J15" s="8" t="s">
        <v>106</v>
      </c>
      <c r="K15" s="3">
        <v>2500</v>
      </c>
    </row>
    <row r="16" spans="3:11" x14ac:dyDescent="0.35">
      <c r="C16" s="3">
        <v>13</v>
      </c>
      <c r="D16" s="3" t="s">
        <v>92</v>
      </c>
      <c r="E16" s="3">
        <v>775</v>
      </c>
      <c r="I16" s="3">
        <v>13</v>
      </c>
      <c r="J16" s="8" t="s">
        <v>111</v>
      </c>
      <c r="K16" s="3">
        <v>3500</v>
      </c>
    </row>
    <row r="17" spans="3:11" x14ac:dyDescent="0.35">
      <c r="C17" s="3">
        <v>14</v>
      </c>
      <c r="D17" s="3" t="s">
        <v>113</v>
      </c>
      <c r="E17" s="3">
        <v>3495</v>
      </c>
      <c r="I17" s="3">
        <v>14</v>
      </c>
      <c r="J17" s="3" t="s">
        <v>118</v>
      </c>
      <c r="K17" s="3">
        <v>300</v>
      </c>
    </row>
    <row r="18" spans="3:11" x14ac:dyDescent="0.35">
      <c r="C18" s="3">
        <v>15</v>
      </c>
      <c r="D18" s="3" t="s">
        <v>93</v>
      </c>
      <c r="E18" s="3">
        <v>3726</v>
      </c>
      <c r="I18" s="3">
        <v>15</v>
      </c>
      <c r="J18" s="3" t="s">
        <v>119</v>
      </c>
      <c r="K18" s="3">
        <v>249</v>
      </c>
    </row>
    <row r="19" spans="3:11" x14ac:dyDescent="0.35">
      <c r="C19" s="3">
        <v>16</v>
      </c>
      <c r="D19" s="3" t="s">
        <v>94</v>
      </c>
      <c r="E19" s="3">
        <v>5801</v>
      </c>
      <c r="I19" s="3">
        <v>16</v>
      </c>
      <c r="J19" s="3" t="s">
        <v>120</v>
      </c>
      <c r="K19" s="9">
        <v>159</v>
      </c>
    </row>
    <row r="20" spans="3:11" x14ac:dyDescent="0.35">
      <c r="C20" s="3">
        <v>17</v>
      </c>
      <c r="D20" s="3" t="s">
        <v>95</v>
      </c>
      <c r="E20" s="3">
        <v>1885</v>
      </c>
      <c r="I20" s="3">
        <v>17</v>
      </c>
      <c r="J20" s="8" t="s">
        <v>121</v>
      </c>
      <c r="K20" s="3">
        <v>3500</v>
      </c>
    </row>
    <row r="21" spans="3:11" x14ac:dyDescent="0.35">
      <c r="C21" s="3">
        <v>18</v>
      </c>
      <c r="D21" s="3" t="s">
        <v>101</v>
      </c>
      <c r="E21" s="3">
        <v>801</v>
      </c>
      <c r="I21" s="3">
        <v>18</v>
      </c>
      <c r="J21" s="3" t="s">
        <v>122</v>
      </c>
      <c r="K21" s="3">
        <v>92</v>
      </c>
    </row>
    <row r="22" spans="3:11" x14ac:dyDescent="0.35">
      <c r="C22" s="3">
        <v>19</v>
      </c>
      <c r="D22" s="3" t="s">
        <v>117</v>
      </c>
      <c r="E22" s="3">
        <v>749</v>
      </c>
      <c r="I22" s="3">
        <v>19</v>
      </c>
      <c r="J22" s="8" t="s">
        <v>145</v>
      </c>
      <c r="K22" s="3">
        <v>4000</v>
      </c>
    </row>
    <row r="23" spans="3:11" x14ac:dyDescent="0.35">
      <c r="C23" s="3">
        <v>20</v>
      </c>
      <c r="D23" s="3" t="s">
        <v>114</v>
      </c>
      <c r="E23" s="3">
        <v>2781</v>
      </c>
      <c r="I23" s="3">
        <v>20</v>
      </c>
      <c r="J23" s="3" t="s">
        <v>152</v>
      </c>
      <c r="K23" s="3">
        <v>104</v>
      </c>
    </row>
    <row r="24" spans="3:11" x14ac:dyDescent="0.35">
      <c r="C24" s="3">
        <v>21</v>
      </c>
      <c r="D24" s="3" t="s">
        <v>115</v>
      </c>
      <c r="E24" s="3">
        <v>6335</v>
      </c>
      <c r="I24" s="3">
        <v>21</v>
      </c>
      <c r="J24" s="8" t="s">
        <v>153</v>
      </c>
      <c r="K24" s="3">
        <v>1500</v>
      </c>
    </row>
    <row r="25" spans="3:11" x14ac:dyDescent="0.35">
      <c r="C25" s="3">
        <v>22</v>
      </c>
      <c r="D25" s="3" t="s">
        <v>116</v>
      </c>
      <c r="E25" s="3">
        <v>1885</v>
      </c>
      <c r="I25" s="3">
        <v>22</v>
      </c>
      <c r="J25" s="3" t="s">
        <v>155</v>
      </c>
      <c r="K25" s="3">
        <v>164</v>
      </c>
    </row>
    <row r="26" spans="3:11" x14ac:dyDescent="0.35">
      <c r="C26" s="3">
        <v>23</v>
      </c>
      <c r="D26" s="3" t="s">
        <v>146</v>
      </c>
      <c r="E26" s="3">
        <v>5674</v>
      </c>
      <c r="I26" s="3">
        <v>23</v>
      </c>
      <c r="J26" s="3" t="s">
        <v>156</v>
      </c>
      <c r="K26" s="3">
        <v>84</v>
      </c>
    </row>
    <row r="27" spans="3:11" x14ac:dyDescent="0.35">
      <c r="C27" s="3">
        <v>24</v>
      </c>
      <c r="D27" s="3" t="s">
        <v>147</v>
      </c>
      <c r="E27" s="3">
        <v>5345</v>
      </c>
      <c r="I27" s="3">
        <v>24</v>
      </c>
      <c r="J27" s="8" t="s">
        <v>157</v>
      </c>
      <c r="K27" s="3">
        <v>1000</v>
      </c>
    </row>
    <row r="28" spans="3:11" x14ac:dyDescent="0.35">
      <c r="C28" s="3">
        <v>25</v>
      </c>
      <c r="D28" s="3" t="s">
        <v>148</v>
      </c>
      <c r="E28" s="3">
        <v>1885</v>
      </c>
      <c r="I28" s="3">
        <v>25</v>
      </c>
      <c r="J28" s="8" t="s">
        <v>158</v>
      </c>
      <c r="K28" s="3">
        <v>110</v>
      </c>
    </row>
    <row r="29" spans="3:11" x14ac:dyDescent="0.35">
      <c r="C29" s="3">
        <v>26</v>
      </c>
      <c r="D29" s="3" t="s">
        <v>154</v>
      </c>
      <c r="E29" s="3">
        <v>3495</v>
      </c>
      <c r="I29" s="3">
        <v>26</v>
      </c>
      <c r="J29" s="8" t="s">
        <v>161</v>
      </c>
      <c r="K29" s="3">
        <v>1000</v>
      </c>
    </row>
    <row r="30" spans="3:11" x14ac:dyDescent="0.35">
      <c r="C30" s="3">
        <v>27</v>
      </c>
      <c r="D30" s="3" t="s">
        <v>149</v>
      </c>
      <c r="E30" s="3">
        <v>2574</v>
      </c>
      <c r="I30" s="3">
        <v>27</v>
      </c>
      <c r="J30" s="8" t="s">
        <v>162</v>
      </c>
      <c r="K30" s="3">
        <v>192</v>
      </c>
    </row>
    <row r="31" spans="3:11" x14ac:dyDescent="0.35">
      <c r="C31" s="3">
        <v>28</v>
      </c>
      <c r="D31" s="3" t="s">
        <v>150</v>
      </c>
      <c r="E31" s="3">
        <v>5403</v>
      </c>
      <c r="I31" s="3">
        <v>28</v>
      </c>
      <c r="J31" s="8" t="s">
        <v>165</v>
      </c>
      <c r="K31" s="3">
        <v>108</v>
      </c>
    </row>
    <row r="32" spans="3:11" x14ac:dyDescent="0.35">
      <c r="C32" s="3">
        <v>29</v>
      </c>
      <c r="D32" s="3" t="s">
        <v>151</v>
      </c>
      <c r="E32" s="3">
        <v>1885</v>
      </c>
      <c r="I32" s="3">
        <v>29</v>
      </c>
      <c r="J32" s="8" t="s">
        <v>166</v>
      </c>
      <c r="K32" s="3">
        <v>216</v>
      </c>
    </row>
    <row r="33" spans="3:12" x14ac:dyDescent="0.35">
      <c r="C33" s="9">
        <v>30</v>
      </c>
      <c r="D33" s="3" t="s">
        <v>168</v>
      </c>
      <c r="E33" s="3">
        <v>8227</v>
      </c>
      <c r="I33" s="3">
        <v>30</v>
      </c>
      <c r="J33" s="8" t="s">
        <v>174</v>
      </c>
      <c r="K33" s="3">
        <v>1760</v>
      </c>
    </row>
    <row r="34" spans="3:12" x14ac:dyDescent="0.35">
      <c r="C34" s="9">
        <v>31</v>
      </c>
      <c r="D34" s="3" t="s">
        <v>169</v>
      </c>
      <c r="E34" s="3">
        <v>6806</v>
      </c>
      <c r="I34" s="3">
        <v>31</v>
      </c>
      <c r="J34" s="3" t="s">
        <v>175</v>
      </c>
      <c r="K34" s="3">
        <v>182</v>
      </c>
    </row>
    <row r="35" spans="3:12" x14ac:dyDescent="0.35">
      <c r="C35" s="9">
        <v>32</v>
      </c>
      <c r="D35" s="3" t="s">
        <v>170</v>
      </c>
      <c r="E35" s="3">
        <v>1885</v>
      </c>
      <c r="I35" s="3">
        <v>32</v>
      </c>
      <c r="J35" s="8" t="s">
        <v>176</v>
      </c>
      <c r="K35" s="3">
        <v>1680</v>
      </c>
    </row>
    <row r="36" spans="3:12" x14ac:dyDescent="0.35">
      <c r="C36" s="9">
        <v>33</v>
      </c>
      <c r="D36" s="3" t="s">
        <v>167</v>
      </c>
      <c r="E36" s="3">
        <v>3495</v>
      </c>
      <c r="I36" s="3">
        <v>33</v>
      </c>
      <c r="J36" s="3" t="s">
        <v>177</v>
      </c>
      <c r="K36" s="3">
        <v>218</v>
      </c>
    </row>
    <row r="37" spans="3:12" x14ac:dyDescent="0.35">
      <c r="C37" s="9">
        <v>34</v>
      </c>
      <c r="D37" s="3" t="s">
        <v>171</v>
      </c>
      <c r="E37" s="8"/>
      <c r="I37" s="3">
        <v>34</v>
      </c>
      <c r="J37" s="8" t="s">
        <v>178</v>
      </c>
      <c r="K37" s="3">
        <v>2500</v>
      </c>
      <c r="L37" s="1"/>
    </row>
    <row r="38" spans="3:12" x14ac:dyDescent="0.35">
      <c r="C38" s="9">
        <v>35</v>
      </c>
      <c r="D38" s="3" t="s">
        <v>172</v>
      </c>
      <c r="E38" s="8"/>
      <c r="I38" s="3">
        <v>35</v>
      </c>
      <c r="J38" s="3" t="s">
        <v>179</v>
      </c>
      <c r="K38" s="3">
        <v>262</v>
      </c>
    </row>
    <row r="39" spans="3:12" x14ac:dyDescent="0.35">
      <c r="C39" s="9">
        <v>36</v>
      </c>
      <c r="D39" s="3" t="s">
        <v>173</v>
      </c>
      <c r="E39" s="8"/>
      <c r="I39" s="3">
        <v>35</v>
      </c>
      <c r="J39" s="8" t="s">
        <v>180</v>
      </c>
      <c r="K39" s="3">
        <v>278</v>
      </c>
    </row>
    <row r="40" spans="3:12" x14ac:dyDescent="0.35">
      <c r="C40" s="27" t="s">
        <v>2</v>
      </c>
      <c r="D40" s="27"/>
      <c r="E40" s="3">
        <f>SUM(E4:E39)</f>
        <v>108280</v>
      </c>
      <c r="I40" s="9">
        <v>36</v>
      </c>
      <c r="J40" s="8" t="s">
        <v>181</v>
      </c>
      <c r="K40" s="3">
        <v>3500</v>
      </c>
    </row>
    <row r="41" spans="3:12" x14ac:dyDescent="0.35">
      <c r="I41" s="9">
        <v>37</v>
      </c>
      <c r="J41" s="8" t="s">
        <v>182</v>
      </c>
      <c r="K41" s="3">
        <v>276</v>
      </c>
    </row>
    <row r="42" spans="3:12" x14ac:dyDescent="0.35">
      <c r="I42" s="9">
        <v>38</v>
      </c>
      <c r="J42" s="8"/>
      <c r="K42" s="8"/>
    </row>
    <row r="43" spans="3:12" x14ac:dyDescent="0.35">
      <c r="I43" s="9">
        <v>39</v>
      </c>
      <c r="J43" s="8"/>
      <c r="K43" s="8"/>
    </row>
    <row r="44" spans="3:12" x14ac:dyDescent="0.35">
      <c r="I44" s="9">
        <v>40</v>
      </c>
      <c r="J44" s="8"/>
      <c r="K44" s="8"/>
    </row>
    <row r="45" spans="3:12" x14ac:dyDescent="0.35">
      <c r="I45" s="9">
        <v>41</v>
      </c>
      <c r="J45" s="8"/>
      <c r="K45" s="8"/>
    </row>
    <row r="46" spans="3:12" x14ac:dyDescent="0.35">
      <c r="I46" s="9">
        <v>42</v>
      </c>
      <c r="J46" s="8"/>
      <c r="K46" s="8"/>
    </row>
    <row r="47" spans="3:12" x14ac:dyDescent="0.35">
      <c r="I47" s="9">
        <v>43</v>
      </c>
      <c r="J47" s="8"/>
      <c r="K47" s="8"/>
    </row>
    <row r="48" spans="3:12" x14ac:dyDescent="0.35">
      <c r="J48" s="11" t="s">
        <v>3</v>
      </c>
      <c r="K48" s="1">
        <f>SUM(K4:K41)</f>
        <v>44950</v>
      </c>
    </row>
    <row r="49" spans="10:11" x14ac:dyDescent="0.35">
      <c r="J49" s="11" t="s">
        <v>4</v>
      </c>
      <c r="K49" s="1">
        <f>E40-K48</f>
        <v>63330</v>
      </c>
    </row>
  </sheetData>
  <mergeCells count="1">
    <mergeCell ref="C40:D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269B-513E-42F6-A828-15136202F942}">
  <dimension ref="D3:J29"/>
  <sheetViews>
    <sheetView topLeftCell="A9" workbookViewId="0">
      <selection activeCell="J29" sqref="J29"/>
    </sheetView>
  </sheetViews>
  <sheetFormatPr defaultRowHeight="14.5" x14ac:dyDescent="0.35"/>
  <cols>
    <col min="6" max="6" width="4.1796875" bestFit="1" customWidth="1"/>
    <col min="7" max="7" width="4.81640625" bestFit="1" customWidth="1"/>
    <col min="8" max="8" width="5.26953125" bestFit="1" customWidth="1"/>
    <col min="9" max="9" width="9.90625" bestFit="1" customWidth="1"/>
    <col min="10" max="10" width="10.54296875" bestFit="1" customWidth="1"/>
  </cols>
  <sheetData>
    <row r="3" spans="4:10" x14ac:dyDescent="0.35"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  <c r="J3" s="10" t="s">
        <v>51</v>
      </c>
    </row>
    <row r="4" spans="4:10" x14ac:dyDescent="0.35">
      <c r="D4" s="3">
        <v>1</v>
      </c>
      <c r="E4" s="3">
        <v>5</v>
      </c>
      <c r="F4" s="3">
        <v>0</v>
      </c>
      <c r="G4" s="3">
        <v>1</v>
      </c>
      <c r="H4" s="3">
        <v>4</v>
      </c>
      <c r="I4" s="3" t="s">
        <v>52</v>
      </c>
      <c r="J4" s="12" t="s">
        <v>53</v>
      </c>
    </row>
    <row r="5" spans="4:10" x14ac:dyDescent="0.35">
      <c r="D5" s="3">
        <v>2</v>
      </c>
      <c r="E5" s="3">
        <v>5</v>
      </c>
      <c r="F5" s="3">
        <v>0</v>
      </c>
      <c r="G5" s="3">
        <v>5</v>
      </c>
      <c r="H5" s="3">
        <v>0</v>
      </c>
      <c r="I5" s="3" t="s">
        <v>54</v>
      </c>
      <c r="J5" s="12" t="s">
        <v>53</v>
      </c>
    </row>
    <row r="6" spans="4:10" x14ac:dyDescent="0.35">
      <c r="D6" s="3">
        <v>3</v>
      </c>
      <c r="E6" s="3">
        <v>5</v>
      </c>
      <c r="F6" s="3">
        <v>1</v>
      </c>
      <c r="G6" s="3">
        <v>0</v>
      </c>
      <c r="H6" s="3">
        <v>4</v>
      </c>
      <c r="I6" s="3" t="s">
        <v>55</v>
      </c>
      <c r="J6" s="13" t="s">
        <v>56</v>
      </c>
    </row>
    <row r="7" spans="4:10" x14ac:dyDescent="0.35">
      <c r="D7" s="3">
        <v>4</v>
      </c>
      <c r="E7" s="3">
        <v>4</v>
      </c>
      <c r="F7" s="3">
        <v>1</v>
      </c>
      <c r="G7" s="3">
        <v>2</v>
      </c>
      <c r="H7" s="3">
        <v>1</v>
      </c>
      <c r="I7" s="3" t="s">
        <v>57</v>
      </c>
      <c r="J7" s="12" t="s">
        <v>53</v>
      </c>
    </row>
    <row r="8" spans="4:10" x14ac:dyDescent="0.35">
      <c r="D8" s="3">
        <v>5</v>
      </c>
      <c r="E8" s="3">
        <v>5</v>
      </c>
      <c r="F8" s="3">
        <v>0</v>
      </c>
      <c r="G8" s="3">
        <v>2</v>
      </c>
      <c r="H8" s="3">
        <v>3</v>
      </c>
      <c r="I8" s="3" t="s">
        <v>58</v>
      </c>
      <c r="J8" s="12" t="s">
        <v>53</v>
      </c>
    </row>
    <row r="9" spans="4:10" x14ac:dyDescent="0.35">
      <c r="D9" s="3">
        <v>6</v>
      </c>
      <c r="E9" s="3">
        <v>4</v>
      </c>
      <c r="F9" s="3">
        <v>0</v>
      </c>
      <c r="G9" s="3">
        <v>3</v>
      </c>
      <c r="H9" s="3">
        <v>1</v>
      </c>
      <c r="I9" s="3" t="s">
        <v>59</v>
      </c>
      <c r="J9" s="12" t="s">
        <v>53</v>
      </c>
    </row>
    <row r="10" spans="4:10" x14ac:dyDescent="0.35">
      <c r="D10" s="3">
        <v>7</v>
      </c>
      <c r="E10" s="3">
        <v>5</v>
      </c>
      <c r="F10" s="3">
        <v>0</v>
      </c>
      <c r="G10" s="3">
        <v>1</v>
      </c>
      <c r="H10" s="3">
        <v>4</v>
      </c>
      <c r="I10" s="3" t="s">
        <v>60</v>
      </c>
      <c r="J10" s="12" t="s">
        <v>53</v>
      </c>
    </row>
    <row r="11" spans="4:10" x14ac:dyDescent="0.35">
      <c r="D11" s="3">
        <v>8</v>
      </c>
      <c r="E11" s="3">
        <v>5</v>
      </c>
      <c r="F11" s="3">
        <v>1</v>
      </c>
      <c r="G11" s="3">
        <v>2</v>
      </c>
      <c r="H11" s="3">
        <v>2</v>
      </c>
      <c r="I11" s="3">
        <v>2002</v>
      </c>
      <c r="J11" s="12" t="s">
        <v>53</v>
      </c>
    </row>
    <row r="12" spans="4:10" x14ac:dyDescent="0.35">
      <c r="D12" s="3">
        <v>9</v>
      </c>
      <c r="E12" s="3">
        <v>4</v>
      </c>
      <c r="F12" s="3">
        <v>1</v>
      </c>
      <c r="G12" s="3">
        <v>0</v>
      </c>
      <c r="H12" s="3">
        <v>3</v>
      </c>
      <c r="I12" s="3">
        <v>2006</v>
      </c>
      <c r="J12" s="13" t="s">
        <v>56</v>
      </c>
    </row>
    <row r="13" spans="4:10" x14ac:dyDescent="0.35">
      <c r="D13" s="3">
        <v>10</v>
      </c>
      <c r="E13" s="3">
        <v>3</v>
      </c>
      <c r="F13" s="3">
        <v>1</v>
      </c>
      <c r="G13" s="3">
        <v>0</v>
      </c>
      <c r="H13" s="3">
        <v>2</v>
      </c>
      <c r="I13" s="3">
        <v>2011</v>
      </c>
      <c r="J13" s="13" t="s">
        <v>56</v>
      </c>
    </row>
    <row r="14" spans="4:10" x14ac:dyDescent="0.35">
      <c r="D14" s="3">
        <v>11</v>
      </c>
      <c r="E14" s="3">
        <v>4</v>
      </c>
      <c r="F14" s="3">
        <v>2</v>
      </c>
      <c r="G14" s="3">
        <v>0</v>
      </c>
      <c r="H14" s="3">
        <v>2</v>
      </c>
      <c r="I14" s="3">
        <v>2016</v>
      </c>
      <c r="J14" s="13" t="s">
        <v>56</v>
      </c>
    </row>
    <row r="15" spans="4:10" x14ac:dyDescent="0.35">
      <c r="D15" s="3">
        <v>12</v>
      </c>
      <c r="E15" s="3">
        <v>2</v>
      </c>
      <c r="F15" s="3">
        <v>2</v>
      </c>
      <c r="G15" s="3">
        <v>0</v>
      </c>
      <c r="H15" s="3">
        <v>0</v>
      </c>
      <c r="I15" s="3" t="s">
        <v>61</v>
      </c>
      <c r="J15" s="13" t="s">
        <v>56</v>
      </c>
    </row>
    <row r="16" spans="4:10" x14ac:dyDescent="0.35">
      <c r="D16" s="3">
        <v>13</v>
      </c>
      <c r="E16" s="3">
        <v>2</v>
      </c>
      <c r="F16" s="3">
        <v>1</v>
      </c>
      <c r="G16" s="3">
        <v>0</v>
      </c>
      <c r="H16" s="3">
        <v>1</v>
      </c>
      <c r="I16" s="3">
        <v>2023</v>
      </c>
      <c r="J16" s="13" t="s">
        <v>56</v>
      </c>
    </row>
    <row r="17" spans="4:10" x14ac:dyDescent="0.35">
      <c r="D17" s="2" t="s">
        <v>63</v>
      </c>
      <c r="E17" s="2">
        <f>SUM(E4:E16)</f>
        <v>53</v>
      </c>
      <c r="F17" s="13">
        <f>SUM(F4:F16)</f>
        <v>10</v>
      </c>
      <c r="G17" s="12">
        <f>SUM(G4:G16)</f>
        <v>16</v>
      </c>
      <c r="H17" s="14">
        <f>SUM(H4:H16)</f>
        <v>27</v>
      </c>
      <c r="I17" s="28">
        <f>F17/E17*100</f>
        <v>18.867924528301888</v>
      </c>
      <c r="J17" s="28"/>
    </row>
    <row r="20" spans="4:10" x14ac:dyDescent="0.35">
      <c r="D20" s="10" t="s">
        <v>45</v>
      </c>
      <c r="E20" s="10" t="s">
        <v>46</v>
      </c>
      <c r="F20" s="10" t="s">
        <v>47</v>
      </c>
      <c r="G20" s="10" t="s">
        <v>48</v>
      </c>
      <c r="H20" s="10" t="s">
        <v>49</v>
      </c>
      <c r="I20" s="10" t="s">
        <v>50</v>
      </c>
      <c r="J20" s="10" t="s">
        <v>51</v>
      </c>
    </row>
    <row r="21" spans="4:10" x14ac:dyDescent="0.35">
      <c r="D21" s="8">
        <v>1</v>
      </c>
      <c r="E21" s="8">
        <v>4</v>
      </c>
      <c r="F21" s="8">
        <v>0</v>
      </c>
      <c r="G21" s="8">
        <v>4</v>
      </c>
      <c r="H21" s="8">
        <v>0</v>
      </c>
      <c r="I21" s="8">
        <v>2011</v>
      </c>
      <c r="J21" s="12" t="s">
        <v>159</v>
      </c>
    </row>
    <row r="22" spans="4:10" x14ac:dyDescent="0.35">
      <c r="D22" s="23">
        <v>2</v>
      </c>
      <c r="E22" s="23">
        <v>4</v>
      </c>
      <c r="F22" s="23">
        <v>1</v>
      </c>
      <c r="G22" s="23">
        <v>2</v>
      </c>
      <c r="H22" s="23">
        <v>1</v>
      </c>
      <c r="I22" s="23">
        <v>2012</v>
      </c>
      <c r="J22" s="12" t="s">
        <v>159</v>
      </c>
    </row>
    <row r="23" spans="4:10" x14ac:dyDescent="0.35">
      <c r="D23" s="8">
        <v>3</v>
      </c>
      <c r="E23" s="8">
        <v>5</v>
      </c>
      <c r="F23" s="8">
        <v>1</v>
      </c>
      <c r="G23" s="8">
        <v>3</v>
      </c>
      <c r="H23" s="8">
        <v>1</v>
      </c>
      <c r="I23" s="8">
        <v>2014</v>
      </c>
      <c r="J23" s="12" t="s">
        <v>159</v>
      </c>
    </row>
    <row r="24" spans="4:10" x14ac:dyDescent="0.35">
      <c r="D24" s="23">
        <v>4</v>
      </c>
      <c r="E24" s="23">
        <v>5</v>
      </c>
      <c r="F24" s="23">
        <v>4</v>
      </c>
      <c r="G24" s="23">
        <v>0</v>
      </c>
      <c r="H24" s="23">
        <v>1</v>
      </c>
      <c r="I24" s="23">
        <v>2016</v>
      </c>
      <c r="J24" s="13" t="s">
        <v>56</v>
      </c>
    </row>
    <row r="25" spans="4:10" x14ac:dyDescent="0.35">
      <c r="D25" s="8">
        <v>5</v>
      </c>
      <c r="E25" s="8">
        <v>5</v>
      </c>
      <c r="F25" s="8">
        <v>1</v>
      </c>
      <c r="G25" s="8">
        <v>4</v>
      </c>
      <c r="H25" s="8">
        <v>0</v>
      </c>
      <c r="I25" s="8">
        <v>2018</v>
      </c>
      <c r="J25" s="12" t="s">
        <v>159</v>
      </c>
    </row>
    <row r="26" spans="4:10" x14ac:dyDescent="0.35">
      <c r="D26" s="23">
        <v>6</v>
      </c>
      <c r="E26" s="23">
        <v>4</v>
      </c>
      <c r="F26" s="23">
        <v>3</v>
      </c>
      <c r="G26" s="23">
        <v>1</v>
      </c>
      <c r="H26" s="23">
        <v>0</v>
      </c>
      <c r="I26" s="23">
        <v>2021</v>
      </c>
      <c r="J26" s="13" t="s">
        <v>56</v>
      </c>
    </row>
    <row r="27" spans="4:10" x14ac:dyDescent="0.35">
      <c r="D27" s="8">
        <v>7</v>
      </c>
      <c r="E27" s="8">
        <v>5</v>
      </c>
      <c r="F27" s="8">
        <v>2</v>
      </c>
      <c r="G27" s="8">
        <v>2</v>
      </c>
      <c r="H27" s="8">
        <v>1</v>
      </c>
      <c r="I27" s="24" t="s">
        <v>160</v>
      </c>
      <c r="J27" s="25" t="s">
        <v>49</v>
      </c>
    </row>
    <row r="28" spans="4:10" x14ac:dyDescent="0.35">
      <c r="D28" s="23">
        <v>8</v>
      </c>
      <c r="E28" s="23">
        <v>5</v>
      </c>
      <c r="F28" s="23">
        <v>4</v>
      </c>
      <c r="G28" s="23">
        <v>1</v>
      </c>
      <c r="H28" s="23">
        <v>0</v>
      </c>
      <c r="I28" s="23">
        <v>2024</v>
      </c>
      <c r="J28" s="13" t="s">
        <v>56</v>
      </c>
    </row>
    <row r="29" spans="4:10" x14ac:dyDescent="0.35">
      <c r="D29" s="8">
        <v>9</v>
      </c>
      <c r="E29" s="8">
        <v>5</v>
      </c>
      <c r="F29" s="8">
        <v>2</v>
      </c>
      <c r="G29" s="8">
        <v>2</v>
      </c>
      <c r="H29" s="8">
        <v>1</v>
      </c>
      <c r="I29" s="8">
        <v>2025</v>
      </c>
      <c r="J29" s="25" t="s">
        <v>49</v>
      </c>
    </row>
  </sheetData>
  <mergeCells count="1">
    <mergeCell ref="I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C64A-5801-461D-91FC-DF1F4A60E3AF}">
  <dimension ref="E3:I8"/>
  <sheetViews>
    <sheetView workbookViewId="0">
      <selection activeCell="C5" sqref="C5"/>
    </sheetView>
  </sheetViews>
  <sheetFormatPr defaultRowHeight="14.5" x14ac:dyDescent="0.35"/>
  <sheetData>
    <row r="3" spans="5:9" x14ac:dyDescent="0.35">
      <c r="E3" s="5">
        <v>2024</v>
      </c>
      <c r="F3" s="4"/>
      <c r="G3" s="4"/>
      <c r="H3" s="4"/>
      <c r="I3" s="4"/>
    </row>
    <row r="4" spans="5:9" x14ac:dyDescent="0.35">
      <c r="E4" s="6" t="s">
        <v>24</v>
      </c>
      <c r="F4" s="6" t="s">
        <v>25</v>
      </c>
      <c r="G4" s="6" t="s">
        <v>26</v>
      </c>
      <c r="H4" s="6" t="s">
        <v>27</v>
      </c>
      <c r="I4" s="7"/>
    </row>
    <row r="5" spans="5:9" ht="29" x14ac:dyDescent="0.35">
      <c r="E5" s="7" t="s">
        <v>28</v>
      </c>
      <c r="F5" s="7" t="s">
        <v>28</v>
      </c>
      <c r="G5" s="7" t="s">
        <v>29</v>
      </c>
      <c r="H5" s="7" t="s">
        <v>30</v>
      </c>
      <c r="I5" s="7"/>
    </row>
    <row r="6" spans="5:9" ht="29" x14ac:dyDescent="0.35">
      <c r="E6" s="7" t="s">
        <v>28</v>
      </c>
      <c r="F6" s="7" t="s">
        <v>31</v>
      </c>
      <c r="G6" s="7" t="s">
        <v>32</v>
      </c>
      <c r="H6" s="7" t="s">
        <v>33</v>
      </c>
      <c r="I6" s="7"/>
    </row>
    <row r="7" spans="5:9" ht="72.5" x14ac:dyDescent="0.35">
      <c r="E7" s="7" t="s">
        <v>31</v>
      </c>
      <c r="F7" s="7" t="s">
        <v>28</v>
      </c>
      <c r="G7" s="7" t="s">
        <v>29</v>
      </c>
      <c r="H7" s="7" t="s">
        <v>30</v>
      </c>
      <c r="I7" s="7" t="s">
        <v>34</v>
      </c>
    </row>
    <row r="8" spans="5:9" x14ac:dyDescent="0.35">
      <c r="E8" s="7" t="s">
        <v>31</v>
      </c>
      <c r="F8" s="7" t="s">
        <v>31</v>
      </c>
      <c r="G8" s="7" t="s">
        <v>35</v>
      </c>
      <c r="H8" s="7" t="s">
        <v>33</v>
      </c>
      <c r="I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BF15-03B6-4327-A5BB-AF07B5B474AF}">
  <dimension ref="A2:K16"/>
  <sheetViews>
    <sheetView workbookViewId="0">
      <selection activeCell="J14" sqref="J14"/>
    </sheetView>
  </sheetViews>
  <sheetFormatPr defaultRowHeight="14.5" x14ac:dyDescent="0.35"/>
  <cols>
    <col min="1" max="1" width="11.453125" bestFit="1" customWidth="1"/>
    <col min="2" max="2" width="15.453125" bestFit="1" customWidth="1"/>
    <col min="3" max="4" width="3.81640625" bestFit="1" customWidth="1"/>
    <col min="5" max="5" width="7" bestFit="1" customWidth="1"/>
    <col min="6" max="6" width="17.7265625" bestFit="1" customWidth="1"/>
  </cols>
  <sheetData>
    <row r="2" spans="1:11" x14ac:dyDescent="0.35">
      <c r="A2" s="1" t="s">
        <v>12</v>
      </c>
      <c r="B2" s="1" t="s">
        <v>13</v>
      </c>
      <c r="C2" t="s">
        <v>66</v>
      </c>
    </row>
    <row r="3" spans="1:11" x14ac:dyDescent="0.35">
      <c r="A3" s="1">
        <v>1</v>
      </c>
      <c r="B3" s="1" t="s">
        <v>18</v>
      </c>
      <c r="C3">
        <v>15</v>
      </c>
      <c r="J3" t="s">
        <v>14</v>
      </c>
      <c r="K3" t="s">
        <v>15</v>
      </c>
    </row>
    <row r="4" spans="1:11" x14ac:dyDescent="0.35">
      <c r="A4" s="1">
        <v>2</v>
      </c>
      <c r="B4" s="1" t="s">
        <v>16</v>
      </c>
      <c r="J4">
        <v>1</v>
      </c>
      <c r="K4" t="s">
        <v>17</v>
      </c>
    </row>
    <row r="5" spans="1:11" x14ac:dyDescent="0.35">
      <c r="J5">
        <v>2</v>
      </c>
      <c r="K5" t="s">
        <v>19</v>
      </c>
    </row>
    <row r="6" spans="1:11" x14ac:dyDescent="0.35">
      <c r="J6">
        <v>3</v>
      </c>
      <c r="K6" t="s">
        <v>20</v>
      </c>
    </row>
    <row r="10" spans="1:11" x14ac:dyDescent="0.35">
      <c r="D10" s="1" t="s">
        <v>21</v>
      </c>
      <c r="E10" s="1" t="s">
        <v>22</v>
      </c>
      <c r="F10" s="1" t="s">
        <v>23</v>
      </c>
      <c r="G10" s="1" t="s">
        <v>66</v>
      </c>
    </row>
    <row r="11" spans="1:11" x14ac:dyDescent="0.35">
      <c r="D11" s="1">
        <v>1</v>
      </c>
      <c r="E11" s="1">
        <v>1</v>
      </c>
      <c r="F11" s="1">
        <v>1</v>
      </c>
      <c r="G11" s="1">
        <v>10</v>
      </c>
    </row>
    <row r="12" spans="1:11" x14ac:dyDescent="0.35">
      <c r="D12" s="1">
        <v>2</v>
      </c>
      <c r="E12" s="1">
        <v>1</v>
      </c>
      <c r="F12" s="1">
        <v>2</v>
      </c>
      <c r="G12" s="1">
        <v>15</v>
      </c>
    </row>
    <row r="13" spans="1:11" x14ac:dyDescent="0.35">
      <c r="D13" s="1">
        <v>3</v>
      </c>
      <c r="E13" s="1">
        <v>2</v>
      </c>
      <c r="F13" s="1">
        <v>1</v>
      </c>
      <c r="G13" s="1">
        <v>10</v>
      </c>
    </row>
    <row r="14" spans="1:11" x14ac:dyDescent="0.35">
      <c r="D14" s="1">
        <v>4</v>
      </c>
      <c r="E14" s="1">
        <v>2</v>
      </c>
      <c r="F14" s="1">
        <v>2</v>
      </c>
      <c r="G14" s="1">
        <v>15</v>
      </c>
    </row>
    <row r="15" spans="1:11" x14ac:dyDescent="0.35">
      <c r="D15" s="1">
        <v>5</v>
      </c>
      <c r="E15" s="1">
        <v>3</v>
      </c>
      <c r="F15" s="1">
        <v>1</v>
      </c>
      <c r="G15" s="1">
        <v>12.5</v>
      </c>
    </row>
    <row r="16" spans="1:11" x14ac:dyDescent="0.35">
      <c r="D16" s="1">
        <v>6</v>
      </c>
      <c r="E16" s="1">
        <v>3</v>
      </c>
      <c r="F16" s="1">
        <v>2</v>
      </c>
      <c r="G16" s="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4AD3-AFF7-4E01-A93C-887AA70B80CD}">
  <dimension ref="D3:K15"/>
  <sheetViews>
    <sheetView workbookViewId="0">
      <selection activeCell="H22" sqref="H22"/>
    </sheetView>
  </sheetViews>
  <sheetFormatPr defaultRowHeight="14.5" x14ac:dyDescent="0.35"/>
  <cols>
    <col min="6" max="6" width="19.81640625" bestFit="1" customWidth="1"/>
    <col min="11" max="11" width="10.7265625" bestFit="1" customWidth="1"/>
  </cols>
  <sheetData>
    <row r="3" spans="4:11" x14ac:dyDescent="0.35">
      <c r="D3" t="s">
        <v>72</v>
      </c>
      <c r="F3" t="s">
        <v>67</v>
      </c>
      <c r="G3">
        <v>113</v>
      </c>
    </row>
    <row r="5" spans="4:11" x14ac:dyDescent="0.35">
      <c r="F5" t="s">
        <v>68</v>
      </c>
      <c r="G5">
        <v>116</v>
      </c>
      <c r="J5">
        <f>(G3-G6)/(G5-G6)*100</f>
        <v>57.142857142857139</v>
      </c>
      <c r="K5" t="s">
        <v>70</v>
      </c>
    </row>
    <row r="6" spans="4:11" x14ac:dyDescent="0.35">
      <c r="F6" t="s">
        <v>69</v>
      </c>
      <c r="G6">
        <v>109</v>
      </c>
    </row>
    <row r="12" spans="4:11" x14ac:dyDescent="0.35">
      <c r="D12" t="s">
        <v>73</v>
      </c>
      <c r="F12" t="s">
        <v>67</v>
      </c>
      <c r="G12">
        <v>145</v>
      </c>
    </row>
    <row r="14" spans="4:11" x14ac:dyDescent="0.35">
      <c r="F14" t="s">
        <v>68</v>
      </c>
      <c r="G14">
        <v>150</v>
      </c>
      <c r="J14">
        <f>(G12-G15)/(G14-G15)*100</f>
        <v>16.666666666666664</v>
      </c>
      <c r="K14" t="s">
        <v>71</v>
      </c>
    </row>
    <row r="15" spans="4:11" x14ac:dyDescent="0.35">
      <c r="F15" t="s">
        <v>69</v>
      </c>
      <c r="G15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2FB7-B6A3-4A49-A6BE-378B042BED09}">
  <dimension ref="F3:N10"/>
  <sheetViews>
    <sheetView workbookViewId="0">
      <selection activeCell="F10" sqref="F10"/>
    </sheetView>
  </sheetViews>
  <sheetFormatPr defaultRowHeight="14.5" x14ac:dyDescent="0.35"/>
  <sheetData>
    <row r="3" spans="6:14" x14ac:dyDescent="0.35">
      <c r="F3" s="26" t="s">
        <v>163</v>
      </c>
    </row>
    <row r="5" spans="6:14" x14ac:dyDescent="0.35">
      <c r="F5">
        <v>181</v>
      </c>
      <c r="G5">
        <v>5500</v>
      </c>
      <c r="H5">
        <f>F5*G5</f>
        <v>995500</v>
      </c>
    </row>
    <row r="6" spans="6:14" x14ac:dyDescent="0.35">
      <c r="F6">
        <v>109</v>
      </c>
      <c r="G6">
        <v>5500</v>
      </c>
      <c r="H6">
        <f>F6*G6</f>
        <v>599500</v>
      </c>
      <c r="I6">
        <f>((H6-H5)/H5*100)</f>
        <v>-39.77900552486188</v>
      </c>
      <c r="J6">
        <f>H6-H5</f>
        <v>-396000</v>
      </c>
    </row>
    <row r="8" spans="6:14" x14ac:dyDescent="0.35">
      <c r="M8" t="s">
        <v>164</v>
      </c>
      <c r="N8">
        <f>J6+J10</f>
        <v>-384104.25</v>
      </c>
    </row>
    <row r="9" spans="6:14" x14ac:dyDescent="0.35">
      <c r="F9">
        <v>113.6</v>
      </c>
      <c r="G9">
        <v>5287</v>
      </c>
      <c r="H9">
        <f>F9*G9</f>
        <v>600603.19999999995</v>
      </c>
    </row>
    <row r="10" spans="6:14" x14ac:dyDescent="0.35">
      <c r="F10">
        <v>115.85</v>
      </c>
      <c r="G10">
        <v>5287</v>
      </c>
      <c r="H10">
        <f>F10*G10</f>
        <v>612498.94999999995</v>
      </c>
      <c r="I10">
        <f>((H10-H9)/H9*100)</f>
        <v>1.9806338028169015</v>
      </c>
      <c r="J10">
        <f>H10-H9</f>
        <v>11895.75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E93D-2DB9-44C4-94DC-749247A05760}">
  <dimension ref="C3:P17"/>
  <sheetViews>
    <sheetView workbookViewId="0">
      <selection activeCell="L16" sqref="L16"/>
    </sheetView>
  </sheetViews>
  <sheetFormatPr defaultRowHeight="14.5" x14ac:dyDescent="0.35"/>
  <cols>
    <col min="5" max="5" width="14.90625" bestFit="1" customWidth="1"/>
    <col min="6" max="6" width="12.08984375" bestFit="1" customWidth="1"/>
    <col min="7" max="7" width="10.08984375" bestFit="1" customWidth="1"/>
  </cols>
  <sheetData>
    <row r="3" spans="3:16" x14ac:dyDescent="0.35">
      <c r="E3" s="1" t="s">
        <v>74</v>
      </c>
      <c r="F3" s="1" t="s">
        <v>75</v>
      </c>
      <c r="G3" s="1" t="s">
        <v>76</v>
      </c>
      <c r="H3" s="1" t="s">
        <v>82</v>
      </c>
    </row>
    <row r="4" spans="3:16" x14ac:dyDescent="0.35">
      <c r="C4" t="s">
        <v>80</v>
      </c>
      <c r="E4" s="1">
        <v>101</v>
      </c>
      <c r="F4" s="1">
        <v>5000</v>
      </c>
      <c r="G4" s="15">
        <v>45333</v>
      </c>
      <c r="H4">
        <v>300</v>
      </c>
      <c r="O4" t="s">
        <v>90</v>
      </c>
      <c r="P4" t="s">
        <v>91</v>
      </c>
    </row>
    <row r="5" spans="3:16" x14ac:dyDescent="0.35">
      <c r="E5" s="1">
        <v>101</v>
      </c>
      <c r="F5" s="1">
        <v>2000</v>
      </c>
      <c r="G5" s="15">
        <v>45333</v>
      </c>
    </row>
    <row r="6" spans="3:16" x14ac:dyDescent="0.35">
      <c r="E6" s="1">
        <v>101</v>
      </c>
      <c r="F6" s="1">
        <v>2000</v>
      </c>
      <c r="G6" s="15">
        <v>45364</v>
      </c>
      <c r="K6" t="s">
        <v>85</v>
      </c>
      <c r="L6">
        <v>101</v>
      </c>
    </row>
    <row r="7" spans="3:16" x14ac:dyDescent="0.35">
      <c r="E7" s="1">
        <v>102</v>
      </c>
      <c r="F7" s="1"/>
      <c r="G7" s="15">
        <v>45396</v>
      </c>
    </row>
    <row r="8" spans="3:16" x14ac:dyDescent="0.35">
      <c r="E8" s="1"/>
      <c r="F8" s="1"/>
      <c r="G8" s="1"/>
    </row>
    <row r="9" spans="3:16" x14ac:dyDescent="0.35">
      <c r="C9" t="s">
        <v>81</v>
      </c>
      <c r="E9" s="1" t="s">
        <v>74</v>
      </c>
      <c r="F9" s="1" t="s">
        <v>77</v>
      </c>
      <c r="G9" s="1" t="s">
        <v>78</v>
      </c>
    </row>
    <row r="10" spans="3:16" x14ac:dyDescent="0.35">
      <c r="E10" s="1">
        <v>101</v>
      </c>
      <c r="F10" s="1">
        <v>100</v>
      </c>
      <c r="G10" s="16">
        <v>45292</v>
      </c>
      <c r="K10" t="s">
        <v>86</v>
      </c>
      <c r="L10" t="s">
        <v>7</v>
      </c>
    </row>
    <row r="11" spans="3:16" x14ac:dyDescent="0.35">
      <c r="E11" s="1">
        <v>101</v>
      </c>
      <c r="F11" s="1">
        <v>200</v>
      </c>
      <c r="G11" s="16">
        <v>45324</v>
      </c>
      <c r="K11" t="s">
        <v>83</v>
      </c>
      <c r="L11">
        <v>100</v>
      </c>
    </row>
    <row r="12" spans="3:16" x14ac:dyDescent="0.35">
      <c r="E12" s="1"/>
      <c r="G12" s="17"/>
      <c r="K12" t="s">
        <v>84</v>
      </c>
      <c r="L12">
        <v>200</v>
      </c>
    </row>
    <row r="13" spans="3:16" x14ac:dyDescent="0.35">
      <c r="G13" s="17"/>
      <c r="K13" t="s">
        <v>87</v>
      </c>
    </row>
    <row r="14" spans="3:16" x14ac:dyDescent="0.35">
      <c r="G14" s="17"/>
      <c r="K14" t="s">
        <v>88</v>
      </c>
    </row>
    <row r="17" spans="12:12" x14ac:dyDescent="0.35">
      <c r="L17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BB4B-8931-4AB7-8BC0-AA083BB7842E}">
  <dimension ref="B2:J12"/>
  <sheetViews>
    <sheetView workbookViewId="0">
      <selection activeCell="E12" sqref="E12"/>
    </sheetView>
  </sheetViews>
  <sheetFormatPr defaultRowHeight="14.5" x14ac:dyDescent="0.35"/>
  <cols>
    <col min="2" max="2" width="4.36328125" bestFit="1" customWidth="1"/>
    <col min="3" max="3" width="11.90625" bestFit="1" customWidth="1"/>
    <col min="4" max="4" width="12.36328125" style="21" bestFit="1" customWidth="1"/>
    <col min="5" max="5" width="16" bestFit="1" customWidth="1"/>
    <col min="6" max="6" width="12.6328125" bestFit="1" customWidth="1"/>
    <col min="7" max="7" width="16.36328125" bestFit="1" customWidth="1"/>
    <col min="8" max="8" width="12.90625" bestFit="1" customWidth="1"/>
    <col min="9" max="9" width="14.453125" bestFit="1" customWidth="1"/>
  </cols>
  <sheetData>
    <row r="2" spans="2:10" x14ac:dyDescent="0.35">
      <c r="B2" s="10" t="s">
        <v>5</v>
      </c>
      <c r="C2" s="10" t="s">
        <v>102</v>
      </c>
      <c r="D2" s="19" t="s">
        <v>107</v>
      </c>
      <c r="E2" s="10" t="s">
        <v>110</v>
      </c>
      <c r="F2" s="10" t="s">
        <v>109</v>
      </c>
      <c r="G2" s="10" t="s">
        <v>108</v>
      </c>
      <c r="H2" s="10" t="s">
        <v>103</v>
      </c>
      <c r="I2" s="10" t="s">
        <v>104</v>
      </c>
      <c r="J2" s="10" t="s">
        <v>105</v>
      </c>
    </row>
    <row r="3" spans="2:10" x14ac:dyDescent="0.35">
      <c r="B3" s="3">
        <v>1</v>
      </c>
      <c r="C3" s="18">
        <v>45444</v>
      </c>
      <c r="D3" s="20">
        <v>20</v>
      </c>
      <c r="E3" s="3">
        <v>10</v>
      </c>
      <c r="F3" s="3">
        <v>0</v>
      </c>
      <c r="G3" s="3">
        <v>0</v>
      </c>
      <c r="H3" s="3">
        <f>ROUND(D3*0.6-G3,0)</f>
        <v>12</v>
      </c>
      <c r="I3" s="3">
        <f>E3-H3+G3</f>
        <v>-2</v>
      </c>
      <c r="J3" s="29">
        <f>SUM(I3:I12)</f>
        <v>2</v>
      </c>
    </row>
    <row r="4" spans="2:10" x14ac:dyDescent="0.35">
      <c r="B4" s="3">
        <v>2</v>
      </c>
      <c r="C4" s="18">
        <v>45474</v>
      </c>
      <c r="D4" s="20">
        <v>23</v>
      </c>
      <c r="E4" s="3">
        <v>16</v>
      </c>
      <c r="F4" s="3">
        <v>0</v>
      </c>
      <c r="G4" s="3">
        <v>0</v>
      </c>
      <c r="H4" s="3">
        <f t="shared" ref="H4:H7" si="0">ROUND(D4*0.6-G4,0)</f>
        <v>14</v>
      </c>
      <c r="I4" s="3">
        <f t="shared" ref="I4:I12" si="1">E4-H4+G4</f>
        <v>2</v>
      </c>
      <c r="J4" s="29"/>
    </row>
    <row r="5" spans="2:10" x14ac:dyDescent="0.35">
      <c r="B5" s="3">
        <v>3</v>
      </c>
      <c r="C5" s="18">
        <v>45505</v>
      </c>
      <c r="D5" s="20">
        <v>22</v>
      </c>
      <c r="E5" s="3">
        <v>9</v>
      </c>
      <c r="F5" s="3">
        <v>0</v>
      </c>
      <c r="G5" s="3">
        <v>2</v>
      </c>
      <c r="H5" s="3">
        <f t="shared" si="0"/>
        <v>11</v>
      </c>
      <c r="I5" s="3">
        <f t="shared" si="1"/>
        <v>0</v>
      </c>
      <c r="J5" s="29"/>
    </row>
    <row r="6" spans="2:10" x14ac:dyDescent="0.35">
      <c r="B6" s="3">
        <v>4</v>
      </c>
      <c r="C6" s="18">
        <v>45536</v>
      </c>
      <c r="D6" s="20">
        <v>21</v>
      </c>
      <c r="E6" s="3">
        <v>11</v>
      </c>
      <c r="F6" s="3">
        <v>0</v>
      </c>
      <c r="G6" s="3">
        <v>0</v>
      </c>
      <c r="H6" s="3">
        <f t="shared" si="0"/>
        <v>13</v>
      </c>
      <c r="I6" s="3">
        <f t="shared" si="1"/>
        <v>-2</v>
      </c>
      <c r="J6" s="29"/>
    </row>
    <row r="7" spans="2:10" x14ac:dyDescent="0.35">
      <c r="B7" s="3">
        <v>5</v>
      </c>
      <c r="C7" s="18">
        <v>45566</v>
      </c>
      <c r="D7" s="20">
        <v>23</v>
      </c>
      <c r="E7" s="3">
        <v>11</v>
      </c>
      <c r="F7" s="3">
        <v>0</v>
      </c>
      <c r="G7" s="3">
        <v>2</v>
      </c>
      <c r="H7" s="3">
        <f t="shared" si="0"/>
        <v>12</v>
      </c>
      <c r="I7" s="3">
        <f t="shared" si="1"/>
        <v>1</v>
      </c>
      <c r="J7" s="29"/>
    </row>
    <row r="8" spans="2:10" x14ac:dyDescent="0.35">
      <c r="B8" s="3">
        <v>6</v>
      </c>
      <c r="C8" s="18">
        <v>45597</v>
      </c>
      <c r="D8" s="20">
        <v>21</v>
      </c>
      <c r="E8" s="3">
        <v>11</v>
      </c>
      <c r="F8" s="3">
        <v>0</v>
      </c>
      <c r="G8" s="3">
        <v>1</v>
      </c>
      <c r="H8" s="3">
        <f>ROUND(D8*0.6-G8+F8,0)</f>
        <v>12</v>
      </c>
      <c r="I8" s="3">
        <f t="shared" si="1"/>
        <v>0</v>
      </c>
      <c r="J8" s="29"/>
    </row>
    <row r="9" spans="2:10" x14ac:dyDescent="0.35">
      <c r="B9" s="3">
        <v>7</v>
      </c>
      <c r="C9" s="18">
        <v>45627</v>
      </c>
      <c r="D9" s="20">
        <v>21</v>
      </c>
      <c r="E9" s="3">
        <v>12</v>
      </c>
      <c r="F9" s="3">
        <v>1</v>
      </c>
      <c r="G9" s="3">
        <v>1</v>
      </c>
      <c r="H9" s="3">
        <f>ROUND(D9*0.6-G9+F9,0)</f>
        <v>13</v>
      </c>
      <c r="I9" s="3">
        <f t="shared" si="1"/>
        <v>0</v>
      </c>
      <c r="J9" s="29"/>
    </row>
    <row r="10" spans="2:10" x14ac:dyDescent="0.35">
      <c r="B10" s="3">
        <v>8</v>
      </c>
      <c r="C10" s="18">
        <v>45658</v>
      </c>
      <c r="D10" s="20">
        <v>21</v>
      </c>
      <c r="E10" s="3">
        <v>12</v>
      </c>
      <c r="F10" s="3">
        <v>0</v>
      </c>
      <c r="G10" s="3">
        <v>2</v>
      </c>
      <c r="H10" s="3">
        <v>12</v>
      </c>
      <c r="I10" s="3">
        <f t="shared" si="1"/>
        <v>2</v>
      </c>
      <c r="J10" s="29"/>
    </row>
    <row r="11" spans="2:10" x14ac:dyDescent="0.35">
      <c r="B11" s="3">
        <v>9</v>
      </c>
      <c r="C11" s="18">
        <v>45689</v>
      </c>
      <c r="D11" s="20">
        <v>20</v>
      </c>
      <c r="E11" s="3">
        <v>11</v>
      </c>
      <c r="F11" s="3">
        <v>0</v>
      </c>
      <c r="G11" s="3">
        <v>0</v>
      </c>
      <c r="H11" s="3">
        <v>12</v>
      </c>
      <c r="I11" s="3">
        <f t="shared" si="1"/>
        <v>-1</v>
      </c>
      <c r="J11" s="29"/>
    </row>
    <row r="12" spans="2:10" x14ac:dyDescent="0.35">
      <c r="B12" s="3">
        <v>10</v>
      </c>
      <c r="C12" s="18">
        <v>45717</v>
      </c>
      <c r="D12" s="20">
        <v>20</v>
      </c>
      <c r="E12" s="3">
        <v>12</v>
      </c>
      <c r="F12" s="3">
        <v>0</v>
      </c>
      <c r="G12" s="3">
        <v>2</v>
      </c>
      <c r="H12" s="3">
        <v>12</v>
      </c>
      <c r="I12" s="3">
        <f t="shared" si="1"/>
        <v>2</v>
      </c>
      <c r="J12" s="29"/>
    </row>
  </sheetData>
  <mergeCells count="1">
    <mergeCell ref="J3:J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C18B-3086-4231-A74F-FD0B98AB9C67}">
  <dimension ref="E2:O98"/>
  <sheetViews>
    <sheetView topLeftCell="A30" workbookViewId="0">
      <selection activeCell="J89" sqref="J89:K91"/>
    </sheetView>
  </sheetViews>
  <sheetFormatPr defaultRowHeight="14.5" x14ac:dyDescent="0.35"/>
  <cols>
    <col min="7" max="7" width="9.7265625" bestFit="1" customWidth="1"/>
    <col min="13" max="13" width="10.26953125" bestFit="1" customWidth="1"/>
    <col min="14" max="14" width="10.08984375" bestFit="1" customWidth="1"/>
  </cols>
  <sheetData>
    <row r="2" spans="5:14" x14ac:dyDescent="0.35">
      <c r="E2" t="s">
        <v>126</v>
      </c>
    </row>
    <row r="3" spans="5:14" x14ac:dyDescent="0.35">
      <c r="E3" t="s">
        <v>123</v>
      </c>
    </row>
    <row r="4" spans="5:14" x14ac:dyDescent="0.35">
      <c r="E4" t="s">
        <v>124</v>
      </c>
    </row>
    <row r="5" spans="5:14" x14ac:dyDescent="0.35">
      <c r="E5" t="s">
        <v>125</v>
      </c>
    </row>
    <row r="6" spans="5:14" x14ac:dyDescent="0.35">
      <c r="E6" t="s">
        <v>123</v>
      </c>
    </row>
    <row r="8" spans="5:14" x14ac:dyDescent="0.35">
      <c r="M8" t="s">
        <v>132</v>
      </c>
      <c r="N8" t="s">
        <v>133</v>
      </c>
    </row>
    <row r="9" spans="5:14" x14ac:dyDescent="0.35">
      <c r="E9" t="s">
        <v>126</v>
      </c>
      <c r="F9" t="s">
        <v>127</v>
      </c>
      <c r="M9">
        <v>1</v>
      </c>
      <c r="N9">
        <v>1</v>
      </c>
    </row>
    <row r="10" spans="5:14" x14ac:dyDescent="0.35">
      <c r="E10" t="s">
        <v>123</v>
      </c>
      <c r="F10">
        <v>2</v>
      </c>
      <c r="M10">
        <v>2</v>
      </c>
      <c r="N10">
        <v>1</v>
      </c>
    </row>
    <row r="11" spans="5:14" x14ac:dyDescent="0.35">
      <c r="E11" t="s">
        <v>124</v>
      </c>
      <c r="F11">
        <v>0</v>
      </c>
      <c r="M11">
        <v>3</v>
      </c>
      <c r="N11">
        <v>2</v>
      </c>
    </row>
    <row r="12" spans="5:14" x14ac:dyDescent="0.35">
      <c r="E12" t="s">
        <v>128</v>
      </c>
      <c r="F12">
        <v>0</v>
      </c>
    </row>
    <row r="14" spans="5:14" x14ac:dyDescent="0.35">
      <c r="M14" t="s">
        <v>129</v>
      </c>
    </row>
    <row r="15" spans="5:14" x14ac:dyDescent="0.35">
      <c r="M15" t="s">
        <v>130</v>
      </c>
    </row>
    <row r="16" spans="5:14" x14ac:dyDescent="0.35">
      <c r="M16" t="s">
        <v>131</v>
      </c>
    </row>
    <row r="28" spans="7:15" x14ac:dyDescent="0.35">
      <c r="G28" t="s">
        <v>136</v>
      </c>
      <c r="H28" t="s">
        <v>137</v>
      </c>
    </row>
    <row r="29" spans="7:15" x14ac:dyDescent="0.35">
      <c r="G29" t="s">
        <v>134</v>
      </c>
      <c r="H29">
        <v>200</v>
      </c>
    </row>
    <row r="30" spans="7:15" x14ac:dyDescent="0.35">
      <c r="G30" t="s">
        <v>135</v>
      </c>
      <c r="H30">
        <v>300</v>
      </c>
    </row>
    <row r="31" spans="7:15" x14ac:dyDescent="0.35">
      <c r="G31" t="s">
        <v>138</v>
      </c>
      <c r="H31">
        <v>200</v>
      </c>
      <c r="N31" t="s">
        <v>78</v>
      </c>
      <c r="O31" t="s">
        <v>140</v>
      </c>
    </row>
    <row r="32" spans="7:15" x14ac:dyDescent="0.35">
      <c r="N32" s="22">
        <v>45323</v>
      </c>
      <c r="O32">
        <v>2</v>
      </c>
    </row>
    <row r="33" spans="7:15" x14ac:dyDescent="0.35">
      <c r="N33" s="22">
        <v>45324</v>
      </c>
      <c r="O33">
        <v>2</v>
      </c>
    </row>
    <row r="34" spans="7:15" x14ac:dyDescent="0.35">
      <c r="G34" t="s">
        <v>136</v>
      </c>
      <c r="H34" t="s">
        <v>137</v>
      </c>
      <c r="I34" t="s">
        <v>139</v>
      </c>
      <c r="N34" s="22">
        <v>45325</v>
      </c>
      <c r="O34">
        <v>2</v>
      </c>
    </row>
    <row r="35" spans="7:15" x14ac:dyDescent="0.35">
      <c r="G35" t="s">
        <v>134</v>
      </c>
      <c r="H35">
        <v>200</v>
      </c>
      <c r="I35">
        <v>700</v>
      </c>
      <c r="N35" s="22">
        <v>45326</v>
      </c>
      <c r="O35">
        <v>3</v>
      </c>
    </row>
    <row r="36" spans="7:15" x14ac:dyDescent="0.35">
      <c r="G36" t="s">
        <v>135</v>
      </c>
      <c r="H36">
        <v>300</v>
      </c>
      <c r="I36">
        <v>700</v>
      </c>
      <c r="N36" s="22">
        <v>45327</v>
      </c>
      <c r="O36">
        <v>4</v>
      </c>
    </row>
    <row r="37" spans="7:15" x14ac:dyDescent="0.35">
      <c r="G37" t="s">
        <v>138</v>
      </c>
      <c r="H37">
        <v>200</v>
      </c>
      <c r="I37">
        <v>700</v>
      </c>
      <c r="N37" s="22">
        <v>45328</v>
      </c>
      <c r="O37">
        <v>5</v>
      </c>
    </row>
    <row r="38" spans="7:15" x14ac:dyDescent="0.35">
      <c r="N38" s="22">
        <v>45329</v>
      </c>
      <c r="O38">
        <v>5</v>
      </c>
    </row>
    <row r="39" spans="7:15" x14ac:dyDescent="0.35">
      <c r="N39" s="22">
        <v>45330</v>
      </c>
      <c r="O39">
        <v>7</v>
      </c>
    </row>
    <row r="40" spans="7:15" x14ac:dyDescent="0.35">
      <c r="N40" s="22">
        <v>45331</v>
      </c>
      <c r="O40">
        <v>8</v>
      </c>
    </row>
    <row r="41" spans="7:15" x14ac:dyDescent="0.35">
      <c r="N41" s="22">
        <v>45332</v>
      </c>
      <c r="O41">
        <v>8</v>
      </c>
    </row>
    <row r="42" spans="7:15" x14ac:dyDescent="0.35">
      <c r="N42" s="22">
        <v>45333</v>
      </c>
      <c r="O42">
        <v>9</v>
      </c>
    </row>
    <row r="43" spans="7:15" x14ac:dyDescent="0.35">
      <c r="N43" s="22">
        <v>45334</v>
      </c>
      <c r="O43">
        <v>10</v>
      </c>
    </row>
    <row r="46" spans="7:15" x14ac:dyDescent="0.35">
      <c r="H46">
        <v>14580</v>
      </c>
    </row>
    <row r="47" spans="7:15" x14ac:dyDescent="0.35">
      <c r="G47" s="17">
        <v>45748</v>
      </c>
      <c r="H47">
        <f>H46+500</f>
        <v>15080</v>
      </c>
    </row>
    <row r="48" spans="7:15" x14ac:dyDescent="0.35">
      <c r="G48" s="17">
        <v>45778</v>
      </c>
      <c r="H48">
        <f>H47+1000</f>
        <v>16080</v>
      </c>
    </row>
    <row r="49" spans="7:8" x14ac:dyDescent="0.35">
      <c r="G49" s="17">
        <v>45809</v>
      </c>
      <c r="H49">
        <f t="shared" ref="H49:H54" si="0">H48+1000</f>
        <v>17080</v>
      </c>
    </row>
    <row r="50" spans="7:8" x14ac:dyDescent="0.35">
      <c r="G50" s="17">
        <v>45839</v>
      </c>
      <c r="H50">
        <f t="shared" si="0"/>
        <v>18080</v>
      </c>
    </row>
    <row r="51" spans="7:8" x14ac:dyDescent="0.35">
      <c r="G51" s="17">
        <v>45870</v>
      </c>
      <c r="H51">
        <f t="shared" si="0"/>
        <v>19080</v>
      </c>
    </row>
    <row r="52" spans="7:8" x14ac:dyDescent="0.35">
      <c r="G52" s="17">
        <v>45901</v>
      </c>
      <c r="H52">
        <f t="shared" si="0"/>
        <v>20080</v>
      </c>
    </row>
    <row r="53" spans="7:8" x14ac:dyDescent="0.35">
      <c r="G53" s="17">
        <v>45931</v>
      </c>
      <c r="H53">
        <f t="shared" si="0"/>
        <v>21080</v>
      </c>
    </row>
    <row r="54" spans="7:8" x14ac:dyDescent="0.35">
      <c r="G54" s="17">
        <v>45962</v>
      </c>
      <c r="H54">
        <f t="shared" si="0"/>
        <v>22080</v>
      </c>
    </row>
    <row r="89" spans="7:11" x14ac:dyDescent="0.35">
      <c r="G89" t="s">
        <v>141</v>
      </c>
      <c r="J89" t="s">
        <v>142</v>
      </c>
      <c r="K89" t="s">
        <v>143</v>
      </c>
    </row>
    <row r="90" spans="7:11" x14ac:dyDescent="0.35">
      <c r="G90">
        <v>1</v>
      </c>
      <c r="J90">
        <v>1</v>
      </c>
      <c r="K90">
        <v>4</v>
      </c>
    </row>
    <row r="91" spans="7:11" x14ac:dyDescent="0.35">
      <c r="G91">
        <v>2</v>
      </c>
      <c r="J91">
        <v>6</v>
      </c>
      <c r="K91">
        <v>10</v>
      </c>
    </row>
    <row r="92" spans="7:11" x14ac:dyDescent="0.35">
      <c r="G92">
        <v>3</v>
      </c>
    </row>
    <row r="93" spans="7:11" x14ac:dyDescent="0.35">
      <c r="G93">
        <v>4</v>
      </c>
    </row>
    <row r="94" spans="7:11" x14ac:dyDescent="0.35">
      <c r="G94">
        <v>6</v>
      </c>
    </row>
    <row r="95" spans="7:11" x14ac:dyDescent="0.35">
      <c r="G95">
        <v>7</v>
      </c>
    </row>
    <row r="96" spans="7:11" x14ac:dyDescent="0.35">
      <c r="G96">
        <v>8</v>
      </c>
    </row>
    <row r="97" spans="7:7" x14ac:dyDescent="0.35">
      <c r="G97">
        <v>9</v>
      </c>
    </row>
    <row r="98" spans="7:7" x14ac:dyDescent="0.35">
      <c r="G98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3A7B-2AB3-438A-B14A-04955E311471}">
  <dimension ref="H3:J9"/>
  <sheetViews>
    <sheetView workbookViewId="0">
      <selection activeCell="I9" sqref="I9"/>
    </sheetView>
  </sheetViews>
  <sheetFormatPr defaultRowHeight="14.5" x14ac:dyDescent="0.35"/>
  <sheetData>
    <row r="3" spans="8:10" x14ac:dyDescent="0.35">
      <c r="I3" t="s">
        <v>56</v>
      </c>
      <c r="J3" t="s">
        <v>144</v>
      </c>
    </row>
    <row r="4" spans="8:10" x14ac:dyDescent="0.35">
      <c r="H4">
        <v>2017</v>
      </c>
      <c r="I4">
        <v>1</v>
      </c>
      <c r="J4">
        <v>1</v>
      </c>
    </row>
    <row r="5" spans="8:10" x14ac:dyDescent="0.35">
      <c r="H5">
        <v>2018</v>
      </c>
      <c r="I5">
        <v>2</v>
      </c>
      <c r="J5">
        <v>0</v>
      </c>
    </row>
    <row r="6" spans="8:10" x14ac:dyDescent="0.35">
      <c r="H6">
        <v>2019</v>
      </c>
      <c r="I6">
        <v>1</v>
      </c>
      <c r="J6">
        <v>0</v>
      </c>
    </row>
    <row r="7" spans="8:10" x14ac:dyDescent="0.35">
      <c r="H7">
        <v>2023</v>
      </c>
      <c r="I7">
        <v>2</v>
      </c>
      <c r="J7">
        <v>0</v>
      </c>
    </row>
    <row r="8" spans="8:10" x14ac:dyDescent="0.35">
      <c r="H8">
        <v>2025</v>
      </c>
      <c r="I8">
        <v>1</v>
      </c>
      <c r="J8">
        <v>0</v>
      </c>
    </row>
    <row r="9" spans="8:10" x14ac:dyDescent="0.35">
      <c r="I9">
        <f>SUM(I4:I8)</f>
        <v>7</v>
      </c>
      <c r="J9">
        <f>SUM(J4:J8)</f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July, Aug,Sep</vt:lpstr>
      <vt:lpstr>stats</vt:lpstr>
      <vt:lpstr>leave_process</vt:lpstr>
      <vt:lpstr>LTCG</vt:lpstr>
      <vt:lpstr>Stochastic Oscillator</vt:lpstr>
      <vt:lpstr>BHF</vt:lpstr>
      <vt:lpstr>Learning Curve</vt:lpstr>
      <vt:lpstr>Working Days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Madan, Ankit</dc:creator>
  <cp:lastModifiedBy>Madan, Ankit</cp:lastModifiedBy>
  <dcterms:created xsi:type="dcterms:W3CDTF">2024-07-15T02:49:06Z</dcterms:created>
  <dcterms:modified xsi:type="dcterms:W3CDTF">2026-03-24T06:00:11Z</dcterms:modified>
</cp:coreProperties>
</file>